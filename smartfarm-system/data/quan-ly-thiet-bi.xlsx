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639846-78AC-4D50-859E-071FA3AA7572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2" i="2"/>
  <c r="F4" i="2"/>
  <c r="F5" i="2"/>
  <c r="F6" i="2"/>
  <c r="F7" i="2"/>
  <c r="F8" i="2"/>
  <c r="F9" i="2"/>
  <c r="F10" i="2"/>
  <c r="F11" i="2"/>
  <c r="E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<sst xmlns="http://schemas.openxmlformats.org/spreadsheetml/2006/main" count="48" uniqueCount="33">
  <si>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</si>
  <si>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</si>
  <si>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</si>
  <si>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</si>
  <si>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</si>
  <si>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</si>
  <si>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</si>
  <si>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</si>
  <si>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</si>
  <si>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</si>
  <si>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</si>
  <si>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</si>
  <si>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</si>
  <si>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</si>
  <si>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</si>
  <si>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</si>
  <si>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</si>
  <si>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</si>
  <si>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</si>
  <si>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</si>
  <si>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</si>
  <si>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</si>
  <si>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</si>
  <si>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</si>
  <si>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</si>
  <si>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</si>
  <si>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</si>
  <si>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</si>
  <si>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</si>
  <si>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</si>
  <si>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</si>
  <si>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 xml:space="preserve"> ma_linh_kien_sach</t>
  </si>
  <si>
    <t xml:space="preserve">ten_thiet_bi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</si>
</sst>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5" sqref="D5"/>
    </sheetView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opLeftCell="C1" workbookViewId="0">
      <selection activeCell="F4" sqref="F4"/>
    </sheetView>
  </sheetViews>
  <sheetFormatPr defaultRowHeight="14.4" x14ac:dyDescent="0.3"/>
  <cols>
    <col min="1" max="4" width="24" customWidth="1"/>
    <col min="5" max="5" width="17.77734375" customWidth="1"/>
    <col min="6" max="6" width="20.5546875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31</v>
      </c>
      <c r="F1" s="1" t="s">
        <v>32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 cm="1">
        <f t="array" ref="E2:E11" xml:space="preserve"> TRIM(B2:B11)</f>
        <v>LK02</v>
      </c>
      <c r="F2" t="str">
        <f xml:space="preserve"> VLOOKUP(B2,'danh-muc-linh-kien'!$A$1:$D$7,2,FALSE)</f>
        <v>Intel NUC i3</v>
      </c>
    </row>
    <row r="3" spans="1:6" x14ac:dyDescent="0.3">
      <c r="A3" t="s">
        <v>22</v>
      </c>
      <c r="B3" t="s">
        <v>4</v>
      </c>
      <c r="C3">
        <v>4</v>
      </c>
      <c r="D3" s="3">
        <v>46096</v>
      </c>
      <c r="E3" t="str">
        <v>LK01</v>
      </c>
      <c r="F3" t="str">
        <f xml:space="preserve"> VLOOKUP(B3,'danh-muc-linh-kien'!$A$1:$D$7,2,FALSE)</f>
        <v>Raspberry Pi 4 Model B</v>
      </c>
    </row>
    <row r="4" spans="1:6" x14ac:dyDescent="0.3">
      <c r="A4" t="s">
        <v>23</v>
      </c>
      <c r="B4" t="s">
        <v>14</v>
      </c>
      <c r="C4">
        <v>8</v>
      </c>
      <c r="D4" s="3">
        <v>46114</v>
      </c>
      <c r="E4" t="str">
        <v>LK05</v>
      </c>
      <c r="F4" t="str">
        <f xml:space="preserve"> VLOOKUP(B4,'danh-muc-linh-kien'!$A$1:$D$7,2,FALSE)</f>
        <v>Mini PC Fanless N100</v>
      </c>
    </row>
    <row r="5" spans="1:6" x14ac:dyDescent="0.3">
      <c r="A5" t="s">
        <v>24</v>
      </c>
      <c r="B5" t="s">
        <v>9</v>
      </c>
      <c r="C5">
        <v>8</v>
      </c>
      <c r="D5" s="3">
        <v>46121</v>
      </c>
      <c r="E5" t="str">
        <v>LK03</v>
      </c>
      <c r="F5" t="str">
        <f xml:space="preserve"> VLOOKUP(B5,'danh-muc-linh-kien'!$A$1:$D$7,2,FALSE)</f>
        <v>Orange Pi 5</v>
      </c>
    </row>
    <row r="6" spans="1:6" x14ac:dyDescent="0.3">
      <c r="A6" t="s">
        <v>25</v>
      </c>
      <c r="B6" t="s">
        <v>7</v>
      </c>
      <c r="C6">
        <v>16</v>
      </c>
      <c r="D6" s="3">
        <v>46133</v>
      </c>
      <c r="E6" t="str">
        <v>LK02</v>
      </c>
      <c r="F6" t="str">
        <f xml:space="preserve"> VLOOKUP(B6,'danh-muc-linh-kien'!$A$1:$D$7,2,FALSE)</f>
        <v>Intel NUC i3</v>
      </c>
    </row>
    <row r="7" spans="1:6" x14ac:dyDescent="0.3">
      <c r="A7" t="s">
        <v>26</v>
      </c>
      <c r="B7" t="s">
        <v>16</v>
      </c>
      <c r="C7">
        <v>4</v>
      </c>
      <c r="D7" s="3">
        <v>46147</v>
      </c>
      <c r="E7" t="str">
        <v>LK06</v>
      </c>
      <c r="F7" t="str">
        <f xml:space="preserve"> VLOOKUP(B7,'danh-muc-linh-kien'!$A$1:$D$7,2,FALSE)</f>
        <v>Synology DS220j NAS</v>
      </c>
    </row>
    <row r="8" spans="1:6" x14ac:dyDescent="0.3">
      <c r="A8" t="s">
        <v>27</v>
      </c>
      <c r="B8" t="s">
        <v>4</v>
      </c>
      <c r="C8">
        <v>4</v>
      </c>
      <c r="D8" s="3">
        <v>46160</v>
      </c>
      <c r="E8" t="str">
        <v>LK01</v>
      </c>
      <c r="F8" t="str">
        <f xml:space="preserve"> VLOOKUP(B8,'danh-muc-linh-kien'!$A$1:$D$7,2,FALSE)</f>
        <v>Raspberry Pi 4 Model B</v>
      </c>
    </row>
    <row r="9" spans="1:6" x14ac:dyDescent="0.3">
      <c r="A9" t="s">
        <v>28</v>
      </c>
      <c r="B9" t="s">
        <v>11</v>
      </c>
      <c r="C9">
        <v>8</v>
      </c>
      <c r="D9" s="3">
        <v>46174</v>
      </c>
      <c r="E9" t="str">
        <v>LK04</v>
      </c>
      <c r="F9" t="str">
        <f xml:space="preserve"> VLOOKUP(B9,'danh-muc-linh-kien'!$A$1:$D$7,2,FALSE)</f>
        <v>Dell Optiplex Micro</v>
      </c>
    </row>
    <row r="10" spans="1:6" x14ac:dyDescent="0.3">
      <c r="A10" t="s">
        <v>29</v>
      </c>
      <c r="B10" t="s">
        <v>9</v>
      </c>
      <c r="C10">
        <v>8</v>
      </c>
      <c r="D10" s="3">
        <v>46187</v>
      </c>
      <c r="E10" t="str">
        <v>LK03</v>
      </c>
      <c r="F10" t="str">
        <f xml:space="preserve"> VLOOKUP(B10,'danh-muc-linh-kien'!$A$1:$D$7,2,FALSE)</f>
        <v>Orange Pi 5</v>
      </c>
    </row>
    <row r="11" spans="1:6" x14ac:dyDescent="0.3">
      <c r="A11" t="s">
        <v>30</v>
      </c>
      <c r="B11" t="s">
        <v>14</v>
      </c>
      <c r="C11">
        <v>8</v>
      </c>
      <c r="D11" s="3">
        <v>46206</v>
      </c>
      <c r="E11" t="str">
        <v>LK05</v>
      </c>
      <c r="F11" t="str">
        <f xml:space="preserve"> VLOOKUP(B11,'danh-muc-linh-kien'!$A$1:$D$7,2,FALSE)</f>
        <v>Mini PC Fanless N100</v>
      </c>
    </row>
  </sheetData>
  <autoFilter ref="A1:F1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bao</cp:lastModifiedBy>
  <dcterms:created xsi:type="dcterms:W3CDTF">2026-10-13T00:17:08Z</dcterms:created>
  <dcterms:modified xsi:type="dcterms:W3CDTF">2026-10-27T02:56:13Z</dcterms:modified>
</cp:coreProperties>
</file>